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Data" sheetId="1" r:id="rId5"/>
    <sheet state="visible" name="Manual Data" sheetId="2" r:id="rId6"/>
    <sheet state="visible" name="Automated Data" sheetId="3" r:id="rId7"/>
    <sheet state="visible" name="Summary Chart" sheetId="4" r:id="rId8"/>
  </sheets>
  <definedNames/>
  <calcPr/>
</workbook>
</file>

<file path=xl/sharedStrings.xml><?xml version="1.0" encoding="utf-8"?>
<sst xmlns="http://schemas.openxmlformats.org/spreadsheetml/2006/main" count="85" uniqueCount="23">
  <si>
    <t>Condition</t>
  </si>
  <si>
    <t>Measured</t>
  </si>
  <si>
    <t>Sampled with ADC</t>
  </si>
  <si>
    <t>Average</t>
  </si>
  <si>
    <t>Std. Dev.</t>
  </si>
  <si>
    <t>Completely Dry</t>
  </si>
  <si>
    <t>Sample 1</t>
  </si>
  <si>
    <t>Blowing on it</t>
  </si>
  <si>
    <t>Sample 2</t>
  </si>
  <si>
    <t>Sample 3</t>
  </si>
  <si>
    <t>Half wiped down with the wet wipe</t>
  </si>
  <si>
    <t>Entire surface wiped</t>
  </si>
  <si>
    <t>Wiped on entire surface</t>
  </si>
  <si>
    <t>3.29V</t>
  </si>
  <si>
    <t>0.118V</t>
  </si>
  <si>
    <t>Blowing on It</t>
  </si>
  <si>
    <t>Sample</t>
  </si>
  <si>
    <t>ADC Value</t>
  </si>
  <si>
    <t>Voltage</t>
  </si>
  <si>
    <t>Wipe on entire surface</t>
  </si>
  <si>
    <t>Full Wipe</t>
  </si>
  <si>
    <t>Half Wipe</t>
  </si>
  <si>
    <t>Wipe 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</si>
</sst>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  <font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2" numFmtId="0" xfId="0" applyBorder="1" applyFont="1"/>
    <xf borderId="4" fillId="0" fontId="1" numFmtId="0" xfId="0" applyAlignment="1" applyBorder="1" applyFont="1">
      <alignment readingOrder="0"/>
    </xf>
    <xf borderId="4" fillId="0" fontId="1" numFmtId="0" xfId="0" applyBorder="1" applyFont="1"/>
    <xf borderId="5" fillId="0" fontId="1" numFmtId="0" xfId="0" applyBorder="1" applyFont="1"/>
    <xf borderId="6" fillId="0" fontId="2" numFmtId="0" xfId="0" applyBorder="1" applyFont="1"/>
    <xf borderId="4" fillId="0" fontId="3" numFmtId="0" xfId="0" applyAlignment="1" applyBorder="1" applyFont="1">
      <alignment readingOrder="0" vertical="bottom"/>
    </xf>
    <xf borderId="0" fillId="0" fontId="1" numFmtId="0" xfId="0" applyAlignment="1" applyFont="1">
      <alignment readingOrder="0"/>
    </xf>
    <xf borderId="4" fillId="0" fontId="3" numFmtId="0" xfId="0" applyAlignment="1" applyBorder="1" applyFont="1">
      <alignment readingOrder="0" shrinkToFit="0" vertical="bottom" wrapText="1"/>
    </xf>
    <xf borderId="4" fillId="0" fontId="1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7428580729166669"/>
          <c:y val="0.1318508535489668"/>
          <c:w val="0.8947975260416668"/>
          <c:h val="0.6996855345911949"/>
        </c:manualLayout>
      </c:layout>
      <c:scatterChart>
        <c:scatterStyle val="lineMarker"/>
        <c:ser>
          <c:idx val="0"/>
          <c:order val="0"/>
          <c:tx>
            <c:v>Manual Std. Dev.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'Automated Data'!$A$2:$A$7</c:f>
            </c:numRef>
          </c:xVal>
          <c:yVal>
            <c:numRef>
              <c:f>'Automated Data'!$B$2:$B$7</c:f>
              <c:numCache/>
            </c:numRef>
          </c:yVal>
        </c:ser>
        <c:ser>
          <c:idx val="1"/>
          <c:order val="1"/>
          <c:tx>
            <c:strRef>
              <c:f>'Automated Data'!$C$1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'Automated Data'!$A$2:$A$7</c:f>
            </c:numRef>
          </c:xVal>
          <c:yVal>
            <c:numRef>
              <c:f>'Automated Data'!$C$2:$C$7</c:f>
              <c:numCache/>
            </c:numRef>
          </c:yVal>
        </c:ser>
        <c:ser>
          <c:idx val="2"/>
          <c:order val="2"/>
          <c:tx>
            <c:v>Automated Std. Dev.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dPt>
            <c:idx val="2"/>
            <c:marker>
              <c:symbol val="none"/>
            </c:marker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'Automated Data'!$A$2:$A$7</c:f>
            </c:numRef>
          </c:xVal>
          <c:yVal>
            <c:numRef>
              <c:f>'Automated Data'!$D$2:$D$7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669397"/>
        <c:axId val="225707948"/>
      </c:scatterChart>
      <c:valAx>
        <c:axId val="12316693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5707948"/>
      </c:valAx>
      <c:valAx>
        <c:axId val="2257079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16693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7428580729166669"/>
          <c:y val="0.1318508535489668"/>
          <c:w val="0.8947975260416668"/>
          <c:h val="0.6996855345911949"/>
        </c:manualLayout>
      </c:layout>
      <c:scatterChart>
        <c:scatterStyle val="lineMarker"/>
        <c:ser>
          <c:idx val="0"/>
          <c:order val="0"/>
          <c:tx>
            <c:v>Manual Std. Dev.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'Automated Data'!$A$2:$A$7</c:f>
            </c:numRef>
          </c:xVal>
          <c:yVal>
            <c:numRef>
              <c:f>'Automated Data'!$B$2:$B$7</c:f>
              <c:numCache/>
            </c:numRef>
          </c:yVal>
        </c:ser>
        <c:ser>
          <c:idx val="1"/>
          <c:order val="1"/>
          <c:tx>
            <c:strRef>
              <c:f>'Automated Data'!$C$1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'Automated Data'!$A$2:$A$7</c:f>
            </c:numRef>
          </c:xVal>
          <c:yVal>
            <c:numRef>
              <c:f>'Automated Data'!$C$2:$C$7</c:f>
              <c:numCache/>
            </c:numRef>
          </c:yVal>
        </c:ser>
        <c:ser>
          <c:idx val="2"/>
          <c:order val="2"/>
          <c:tx>
            <c:v>Automated Std. Dev.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dPt>
            <c:idx val="2"/>
            <c:marker>
              <c:symbol val="none"/>
            </c:marker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'Automated Data'!$A$2:$A$7</c:f>
            </c:numRef>
          </c:xVal>
          <c:yVal>
            <c:numRef>
              <c:f>'Automated Data'!$D$2:$D$7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364974"/>
        <c:axId val="232787709"/>
      </c:scatterChart>
      <c:valAx>
        <c:axId val="35136497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2787709"/>
      </c:valAx>
      <c:valAx>
        <c:axId val="2327877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13649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10</xdr:row>
      <xdr:rowOff>123825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438150</xdr:colOff>
      <xdr:row>0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</cols>
  <sheetData>
    <row r="1">
      <c r="A1" s="1" t="s">
        <v>0</v>
      </c>
      <c r="B1" s="2" t="s">
        <v>1</v>
      </c>
      <c r="C1" s="3"/>
      <c r="D1" s="4" t="s">
        <v>2</v>
      </c>
      <c r="E1" s="5"/>
      <c r="F1" s="6"/>
    </row>
    <row r="2">
      <c r="A2" s="7"/>
      <c r="B2" s="4" t="s">
        <v>3</v>
      </c>
      <c r="C2" s="4" t="s">
        <v>4</v>
      </c>
      <c r="D2" s="4" t="s">
        <v>3</v>
      </c>
      <c r="E2" s="4" t="s">
        <v>4</v>
      </c>
      <c r="F2" s="6"/>
    </row>
    <row r="3">
      <c r="A3" s="8" t="s">
        <v>5</v>
      </c>
      <c r="B3" s="5"/>
      <c r="C3" s="5"/>
      <c r="D3" s="5"/>
      <c r="E3" s="5"/>
      <c r="F3" s="6"/>
    </row>
    <row r="4">
      <c r="A4" s="10" t="s">
        <v>7</v>
      </c>
      <c r="B4" s="5"/>
      <c r="C4" s="5"/>
      <c r="D4" s="5"/>
      <c r="E4" s="5"/>
      <c r="F4" s="6"/>
    </row>
    <row r="5">
      <c r="A5" s="10" t="s">
        <v>10</v>
      </c>
      <c r="B5" s="5"/>
      <c r="C5" s="5"/>
      <c r="D5" s="5"/>
      <c r="E5" s="5"/>
      <c r="F5" s="6"/>
    </row>
    <row r="6">
      <c r="A6" s="10" t="s">
        <v>11</v>
      </c>
      <c r="B6" s="5"/>
      <c r="C6" s="5"/>
      <c r="D6" s="5"/>
      <c r="E6" s="5"/>
      <c r="F6" s="6"/>
    </row>
    <row r="7">
      <c r="A7" s="11" t="s">
        <v>12</v>
      </c>
      <c r="B7" s="5"/>
      <c r="C7" s="5"/>
      <c r="D7" s="5"/>
      <c r="E7" s="5"/>
    </row>
  </sheetData>
  <mergeCells count="2">
    <mergeCell ref="A1:A2"/>
    <mergeCell ref="B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4" t="s">
        <v>2</v>
      </c>
      <c r="E1" s="5"/>
      <c r="G1" s="1" t="s">
        <v>0</v>
      </c>
    </row>
    <row r="2">
      <c r="A2" s="7"/>
      <c r="B2" s="4" t="s">
        <v>3</v>
      </c>
      <c r="C2" s="4" t="s">
        <v>4</v>
      </c>
      <c r="D2" s="4" t="s">
        <v>3</v>
      </c>
      <c r="E2" s="4" t="s">
        <v>4</v>
      </c>
      <c r="G2" s="7"/>
      <c r="H2" s="9" t="s">
        <v>6</v>
      </c>
      <c r="I2" s="9" t="s">
        <v>8</v>
      </c>
      <c r="J2" s="9" t="s">
        <v>9</v>
      </c>
    </row>
    <row r="3">
      <c r="A3" s="8" t="s">
        <v>5</v>
      </c>
      <c r="B3" s="4"/>
      <c r="C3" s="4"/>
      <c r="D3" s="4"/>
      <c r="E3" s="4"/>
      <c r="G3" s="8" t="s">
        <v>5</v>
      </c>
      <c r="H3" s="4" t="s">
        <v>13</v>
      </c>
      <c r="I3" s="4" t="s">
        <v>13</v>
      </c>
      <c r="J3" s="4" t="s">
        <v>13</v>
      </c>
      <c r="K3" s="4"/>
    </row>
    <row r="4">
      <c r="A4" s="10" t="s">
        <v>7</v>
      </c>
      <c r="B4" s="4"/>
      <c r="C4" s="4"/>
      <c r="D4" s="4"/>
      <c r="E4" s="4"/>
      <c r="G4" s="10" t="s">
        <v>7</v>
      </c>
      <c r="H4" s="4" t="s">
        <v>13</v>
      </c>
      <c r="I4" s="4" t="s">
        <v>13</v>
      </c>
      <c r="J4" s="4" t="s">
        <v>13</v>
      </c>
      <c r="K4" s="4"/>
    </row>
    <row r="5">
      <c r="A5" s="10" t="s">
        <v>10</v>
      </c>
      <c r="B5" s="4"/>
      <c r="C5" s="4"/>
      <c r="D5" s="4"/>
      <c r="E5" s="4"/>
      <c r="G5" s="10" t="s">
        <v>10</v>
      </c>
      <c r="H5" s="4" t="s">
        <v>13</v>
      </c>
      <c r="I5" s="4" t="s">
        <v>13</v>
      </c>
      <c r="J5" s="4" t="s">
        <v>13</v>
      </c>
      <c r="K5" s="4"/>
    </row>
    <row r="6">
      <c r="A6" s="10" t="s">
        <v>11</v>
      </c>
      <c r="B6" s="4"/>
      <c r="C6" s="4"/>
      <c r="D6" s="4"/>
      <c r="E6" s="4"/>
      <c r="G6" s="10" t="s">
        <v>11</v>
      </c>
      <c r="H6" s="4" t="s">
        <v>13</v>
      </c>
      <c r="I6" s="4" t="s">
        <v>13</v>
      </c>
      <c r="J6" s="4" t="s">
        <v>13</v>
      </c>
      <c r="K6" s="4"/>
    </row>
    <row r="7">
      <c r="A7" s="11" t="s">
        <v>12</v>
      </c>
      <c r="B7" s="4"/>
      <c r="C7" s="4"/>
      <c r="D7" s="4"/>
      <c r="E7" s="4"/>
      <c r="G7" s="11" t="s">
        <v>12</v>
      </c>
      <c r="H7" s="4" t="s">
        <v>14</v>
      </c>
      <c r="I7" s="4" t="s">
        <v>14</v>
      </c>
      <c r="J7" s="4" t="s">
        <v>14</v>
      </c>
      <c r="K7" s="4"/>
    </row>
  </sheetData>
  <mergeCells count="3">
    <mergeCell ref="A1:A2"/>
    <mergeCell ref="B1:C1"/>
    <mergeCell ref="G1:G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4" t="s">
        <v>2</v>
      </c>
      <c r="E1" s="5"/>
      <c r="G1" s="9" t="s">
        <v>15</v>
      </c>
      <c r="H1" s="12" t="s">
        <v>16</v>
      </c>
      <c r="I1" s="12" t="s">
        <v>17</v>
      </c>
      <c r="J1" s="12" t="s">
        <v>18</v>
      </c>
    </row>
    <row r="2">
      <c r="A2" s="7"/>
      <c r="B2" s="4" t="s">
        <v>3</v>
      </c>
      <c r="C2" s="4" t="s">
        <v>4</v>
      </c>
      <c r="D2" s="4" t="s">
        <v>3</v>
      </c>
      <c r="E2" s="4" t="s">
        <v>4</v>
      </c>
      <c r="H2" s="13">
        <v>1.0</v>
      </c>
      <c r="I2" s="13">
        <v>4095.0</v>
      </c>
      <c r="J2" s="13">
        <v>3.3</v>
      </c>
    </row>
    <row r="3">
      <c r="A3" s="8" t="s">
        <v>5</v>
      </c>
      <c r="B3" s="4" t="s">
        <v>13</v>
      </c>
      <c r="C3" s="4">
        <v>0.0</v>
      </c>
      <c r="D3" s="5">
        <f>AVERAGE(J13:J22)</f>
        <v>3.3</v>
      </c>
      <c r="E3" s="5">
        <f>STDEV(J13:J22)</f>
        <v>0</v>
      </c>
      <c r="H3" s="13">
        <v>2.0</v>
      </c>
      <c r="I3" s="13">
        <v>2597.0</v>
      </c>
      <c r="J3" s="13">
        <v>2.093</v>
      </c>
    </row>
    <row r="4">
      <c r="A4" s="10" t="s">
        <v>7</v>
      </c>
      <c r="B4" s="4" t="s">
        <v>13</v>
      </c>
      <c r="C4" s="4">
        <v>0.0</v>
      </c>
      <c r="D4" s="5">
        <f>AVERAGE(J2:J11)</f>
        <v>2.2284</v>
      </c>
      <c r="E4" s="5">
        <f>STDEV(J2:J11)</f>
        <v>0.4072054355</v>
      </c>
      <c r="H4" s="13">
        <v>3.0</v>
      </c>
      <c r="I4" s="13">
        <v>2344.0</v>
      </c>
      <c r="J4" s="13">
        <v>1.889</v>
      </c>
    </row>
    <row r="5">
      <c r="A5" s="10" t="s">
        <v>10</v>
      </c>
      <c r="B5" s="4" t="s">
        <v>13</v>
      </c>
      <c r="C5" s="4">
        <v>0.0</v>
      </c>
      <c r="D5" s="5">
        <f>AVERAGE(J35:J44)</f>
        <v>0.7641</v>
      </c>
      <c r="E5" s="5">
        <f>STDEV(J35:J44)</f>
        <v>0.3946141435</v>
      </c>
      <c r="H5" s="13">
        <v>4.0</v>
      </c>
      <c r="I5" s="13">
        <v>2389.0</v>
      </c>
      <c r="J5" s="13">
        <v>1.925</v>
      </c>
    </row>
    <row r="6">
      <c r="A6" s="10" t="s">
        <v>11</v>
      </c>
      <c r="B6" s="4" t="s">
        <v>13</v>
      </c>
      <c r="C6" s="4">
        <v>0.0</v>
      </c>
      <c r="D6" s="5">
        <f>AVERAGE(J24:J33)</f>
        <v>0.9814</v>
      </c>
      <c r="E6" s="5">
        <f>STDEV(J24:J33)</f>
        <v>0.3796431658</v>
      </c>
      <c r="H6" s="13">
        <v>5.0</v>
      </c>
      <c r="I6" s="13">
        <v>2444.0</v>
      </c>
      <c r="J6" s="13">
        <v>1.97</v>
      </c>
    </row>
    <row r="7">
      <c r="A7" s="11" t="s">
        <v>19</v>
      </c>
      <c r="B7" s="4" t="s">
        <v>14</v>
      </c>
      <c r="C7" s="4">
        <v>0.0</v>
      </c>
      <c r="D7" s="5">
        <f>AVERAGE(J46:J55)</f>
        <v>0.4857</v>
      </c>
      <c r="E7" s="5">
        <f>STDEV(J46:J55)</f>
        <v>0.1057008883</v>
      </c>
      <c r="H7" s="13">
        <v>6.0</v>
      </c>
      <c r="I7" s="13">
        <v>2579.0</v>
      </c>
      <c r="J7" s="13">
        <v>2.078</v>
      </c>
    </row>
    <row r="8">
      <c r="H8" s="13">
        <v>7.0</v>
      </c>
      <c r="I8" s="13">
        <v>2667.0</v>
      </c>
      <c r="J8" s="13">
        <v>2.149</v>
      </c>
    </row>
    <row r="9">
      <c r="H9" s="13">
        <v>8.0</v>
      </c>
      <c r="I9" s="13">
        <v>2760.0</v>
      </c>
      <c r="J9" s="13">
        <v>2.224</v>
      </c>
    </row>
    <row r="10">
      <c r="H10" s="13">
        <v>9.0</v>
      </c>
      <c r="I10" s="13">
        <v>2842.0</v>
      </c>
      <c r="J10" s="13">
        <v>2.29</v>
      </c>
    </row>
    <row r="11">
      <c r="H11" s="13">
        <v>10.0</v>
      </c>
      <c r="I11" s="13">
        <v>2936.0</v>
      </c>
      <c r="J11" s="13">
        <v>2.366</v>
      </c>
    </row>
    <row r="12">
      <c r="G12" s="9" t="s">
        <v>5</v>
      </c>
      <c r="H12" s="12" t="s">
        <v>16</v>
      </c>
      <c r="I12" s="12" t="s">
        <v>17</v>
      </c>
      <c r="J12" s="12" t="s">
        <v>18</v>
      </c>
    </row>
    <row r="13">
      <c r="H13" s="13">
        <v>1.0</v>
      </c>
      <c r="I13" s="13">
        <v>4095.0</v>
      </c>
      <c r="J13" s="13">
        <v>3.3</v>
      </c>
    </row>
    <row r="14">
      <c r="H14" s="13">
        <v>2.0</v>
      </c>
      <c r="I14" s="13">
        <v>4095.0</v>
      </c>
      <c r="J14" s="13">
        <v>3.3</v>
      </c>
    </row>
    <row r="15">
      <c r="H15" s="13">
        <v>3.0</v>
      </c>
      <c r="I15" s="14">
        <v>4095.0</v>
      </c>
      <c r="J15" s="13">
        <v>3.3</v>
      </c>
    </row>
    <row r="16">
      <c r="H16" s="13">
        <v>4.0</v>
      </c>
      <c r="I16" s="13">
        <v>4095.0</v>
      </c>
      <c r="J16" s="13">
        <v>3.3</v>
      </c>
    </row>
    <row r="17">
      <c r="H17" s="13">
        <v>5.0</v>
      </c>
      <c r="I17" s="13">
        <v>4095.0</v>
      </c>
      <c r="J17" s="13">
        <v>3.3</v>
      </c>
    </row>
    <row r="18">
      <c r="H18" s="13">
        <v>6.0</v>
      </c>
      <c r="I18" s="13">
        <v>4095.0</v>
      </c>
      <c r="J18" s="13">
        <v>3.3</v>
      </c>
    </row>
    <row r="19">
      <c r="H19" s="13">
        <v>7.0</v>
      </c>
      <c r="I19" s="13">
        <v>4095.0</v>
      </c>
      <c r="J19" s="13">
        <v>3.3</v>
      </c>
    </row>
    <row r="20">
      <c r="H20" s="13">
        <v>8.0</v>
      </c>
      <c r="I20" s="13">
        <v>4095.0</v>
      </c>
      <c r="J20" s="13">
        <v>3.3</v>
      </c>
    </row>
    <row r="21">
      <c r="H21" s="13">
        <v>9.0</v>
      </c>
      <c r="I21" s="13">
        <v>4095.0</v>
      </c>
      <c r="J21" s="13">
        <v>3.3</v>
      </c>
    </row>
    <row r="22">
      <c r="H22" s="13">
        <v>10.0</v>
      </c>
      <c r="I22" s="13">
        <v>4095.0</v>
      </c>
      <c r="J22" s="13">
        <v>3.3</v>
      </c>
    </row>
    <row r="23">
      <c r="G23" s="9" t="s">
        <v>20</v>
      </c>
      <c r="H23" s="12" t="s">
        <v>16</v>
      </c>
      <c r="I23" s="12" t="s">
        <v>17</v>
      </c>
      <c r="J23" s="12" t="s">
        <v>18</v>
      </c>
    </row>
    <row r="24">
      <c r="H24" s="13">
        <v>1.0</v>
      </c>
      <c r="I24" s="13">
        <v>1398.0</v>
      </c>
      <c r="J24" s="13">
        <v>1.127</v>
      </c>
    </row>
    <row r="25">
      <c r="H25" s="13">
        <v>2.0</v>
      </c>
      <c r="I25" s="13">
        <v>667.0</v>
      </c>
      <c r="J25" s="13">
        <v>0.538</v>
      </c>
    </row>
    <row r="26">
      <c r="H26" s="13">
        <v>3.0</v>
      </c>
      <c r="I26" s="13">
        <v>1660.0</v>
      </c>
      <c r="J26" s="13">
        <v>1.338</v>
      </c>
    </row>
    <row r="27">
      <c r="H27" s="13">
        <v>4.0</v>
      </c>
      <c r="I27" s="13">
        <v>751.0</v>
      </c>
      <c r="J27" s="13">
        <v>0.605</v>
      </c>
    </row>
    <row r="28">
      <c r="H28" s="13">
        <v>5.0</v>
      </c>
      <c r="I28" s="13">
        <v>1237.0</v>
      </c>
      <c r="J28" s="13">
        <v>0.997</v>
      </c>
    </row>
    <row r="29">
      <c r="H29" s="13">
        <v>6.0</v>
      </c>
      <c r="I29" s="13">
        <v>1735.0</v>
      </c>
      <c r="J29" s="13">
        <v>1.398</v>
      </c>
    </row>
    <row r="30">
      <c r="H30" s="13">
        <v>7.0</v>
      </c>
      <c r="I30" s="13">
        <v>533.0</v>
      </c>
      <c r="J30" s="13">
        <v>0.43</v>
      </c>
    </row>
    <row r="31">
      <c r="H31" s="13">
        <v>8.0</v>
      </c>
      <c r="I31" s="13">
        <v>873.0</v>
      </c>
      <c r="J31" s="13">
        <v>0.704</v>
      </c>
    </row>
    <row r="32">
      <c r="H32" s="13">
        <v>9.0</v>
      </c>
      <c r="I32" s="13">
        <v>1684.0</v>
      </c>
      <c r="J32" s="13">
        <v>1.357</v>
      </c>
    </row>
    <row r="33">
      <c r="H33" s="13">
        <v>10.0</v>
      </c>
      <c r="I33" s="13">
        <v>1638.0</v>
      </c>
      <c r="J33" s="13">
        <v>1.32</v>
      </c>
    </row>
    <row r="34">
      <c r="G34" s="9" t="s">
        <v>21</v>
      </c>
      <c r="H34" s="9" t="s">
        <v>16</v>
      </c>
      <c r="I34" s="9" t="s">
        <v>17</v>
      </c>
      <c r="J34" s="9" t="s">
        <v>18</v>
      </c>
    </row>
    <row r="35">
      <c r="H35" s="9">
        <v>1.0</v>
      </c>
      <c r="I35" s="9">
        <v>1144.0</v>
      </c>
      <c r="J35" s="9">
        <v>0.922</v>
      </c>
    </row>
    <row r="36">
      <c r="H36" s="9">
        <v>2.0</v>
      </c>
      <c r="I36" s="9">
        <v>443.0</v>
      </c>
      <c r="J36" s="9">
        <v>0.357</v>
      </c>
    </row>
    <row r="37">
      <c r="H37" s="9">
        <v>3.0</v>
      </c>
      <c r="I37" s="9">
        <v>797.0</v>
      </c>
      <c r="J37" s="9">
        <v>0.642</v>
      </c>
    </row>
    <row r="38">
      <c r="H38" s="9">
        <v>4.0</v>
      </c>
      <c r="I38" s="9">
        <v>1819.0</v>
      </c>
      <c r="J38" s="9">
        <v>1.466</v>
      </c>
    </row>
    <row r="39">
      <c r="H39" s="9">
        <v>5.0</v>
      </c>
      <c r="I39" s="9">
        <v>665.0</v>
      </c>
      <c r="J39" s="9">
        <v>0.536</v>
      </c>
    </row>
    <row r="40">
      <c r="H40" s="9">
        <v>6.0</v>
      </c>
      <c r="I40" s="9">
        <v>509.0</v>
      </c>
      <c r="J40" s="9">
        <v>0.41</v>
      </c>
    </row>
    <row r="41">
      <c r="H41" s="9">
        <v>7.0</v>
      </c>
      <c r="I41" s="9">
        <v>1758.0</v>
      </c>
      <c r="J41" s="9">
        <v>1.417</v>
      </c>
    </row>
    <row r="42">
      <c r="H42" s="9">
        <v>8.0</v>
      </c>
      <c r="I42" s="9">
        <v>941.0</v>
      </c>
      <c r="J42" s="9">
        <v>0.758</v>
      </c>
    </row>
    <row r="43">
      <c r="H43" s="9">
        <v>9.0</v>
      </c>
      <c r="I43" s="9">
        <v>574.0</v>
      </c>
      <c r="J43" s="9">
        <v>0.463</v>
      </c>
    </row>
    <row r="44">
      <c r="H44" s="9">
        <v>10.0</v>
      </c>
      <c r="I44" s="9">
        <v>831.0</v>
      </c>
      <c r="J44" s="9">
        <v>0.67</v>
      </c>
    </row>
    <row r="45">
      <c r="G45" s="9" t="s">
        <v>22</v>
      </c>
      <c r="H45" s="9" t="s">
        <v>16</v>
      </c>
      <c r="I45" s="9" t="s">
        <v>17</v>
      </c>
      <c r="J45" s="9" t="s">
        <v>18</v>
      </c>
    </row>
    <row r="46">
      <c r="H46" s="9">
        <v>1.0</v>
      </c>
      <c r="I46" s="9">
        <v>965.0</v>
      </c>
      <c r="J46" s="9">
        <v>0.778</v>
      </c>
    </row>
    <row r="47">
      <c r="H47" s="9">
        <v>2.0</v>
      </c>
      <c r="I47" s="9">
        <v>631.0</v>
      </c>
      <c r="J47" s="9">
        <v>0.508</v>
      </c>
    </row>
    <row r="48">
      <c r="H48" s="9">
        <v>3.0</v>
      </c>
      <c r="I48" s="9">
        <v>601.0</v>
      </c>
      <c r="J48" s="9">
        <v>0.484</v>
      </c>
    </row>
    <row r="49">
      <c r="H49" s="9">
        <v>4.0</v>
      </c>
      <c r="I49" s="9">
        <v>571.0</v>
      </c>
      <c r="J49" s="9">
        <v>0.46</v>
      </c>
    </row>
    <row r="50">
      <c r="H50" s="9">
        <v>5.0</v>
      </c>
      <c r="I50" s="9">
        <v>557.0</v>
      </c>
      <c r="J50" s="9">
        <v>0.449</v>
      </c>
    </row>
    <row r="51">
      <c r="H51" s="9">
        <v>6.0</v>
      </c>
      <c r="I51" s="9">
        <v>539.0</v>
      </c>
      <c r="J51" s="9">
        <v>0.434</v>
      </c>
    </row>
    <row r="52">
      <c r="H52" s="9">
        <v>7.0</v>
      </c>
      <c r="I52" s="9">
        <v>541.0</v>
      </c>
      <c r="J52" s="9">
        <v>0.436</v>
      </c>
    </row>
    <row r="53">
      <c r="H53" s="9">
        <v>8.0</v>
      </c>
      <c r="I53" s="9">
        <v>537.0</v>
      </c>
      <c r="J53" s="9">
        <v>0.433</v>
      </c>
    </row>
    <row r="54">
      <c r="H54" s="9">
        <v>9.0</v>
      </c>
      <c r="I54" s="9">
        <v>548.0</v>
      </c>
      <c r="J54" s="9">
        <v>0.442</v>
      </c>
    </row>
    <row r="55">
      <c r="H55" s="9">
        <v>10.0</v>
      </c>
      <c r="I55" s="9">
        <v>537.0</v>
      </c>
      <c r="J55" s="9">
        <v>0.433</v>
      </c>
    </row>
  </sheetData>
  <mergeCells count="2">
    <mergeCell ref="A1:A2"/>
    <mergeCell ref="B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